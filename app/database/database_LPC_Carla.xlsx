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61446D76-6C33-E942-91C7-B2B31C6D1924}" xr6:coauthVersionLast="47" xr6:coauthVersionMax="47" xr10:uidLastSave="{00000000-0000-0000-0000-000000000000}"/>
  <bookViews>
    <workbookView xWindow="5400" yWindow="1820" windowWidth="30240" windowHeight="177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E6" i="2"/>
  <c r="B6" i="2"/>
  <c r="B8" i="2" s="1"/>
  <c r="B10" i="2" s="1"/>
  <c r="H9" i="2"/>
  <c r="H4" i="2"/>
  <c r="H5" i="2"/>
  <c r="H8" i="2" s="1"/>
  <c r="H10" i="2" s="1"/>
  <c r="E4" i="2"/>
  <c r="E9" i="2" s="1"/>
  <c r="B4" i="2"/>
  <c r="E5" i="2"/>
  <c r="E8" i="2" s="1"/>
  <c r="E10" i="2" s="1"/>
  <c r="B9" i="2"/>
  <c r="B5" i="2"/>
  <c r="B11" i="2" l="1"/>
  <c r="H11" i="2"/>
  <c r="E11" i="2"/>
</calcChain>
</file>

<file path=xl/sharedStrings.xml><?xml version="1.0" encoding="utf-8"?>
<sst xmlns="http://schemas.openxmlformats.org/spreadsheetml/2006/main" count="96" uniqueCount="46">
  <si>
    <t>ID</t>
  </si>
  <si>
    <t>m/z</t>
  </si>
  <si>
    <t>Formula</t>
  </si>
  <si>
    <t>Class</t>
  </si>
  <si>
    <t>Adduct</t>
  </si>
  <si>
    <t>M+1 % intensity</t>
  </si>
  <si>
    <t>M+2 % intensity</t>
  </si>
  <si>
    <t>M-2</t>
  </si>
  <si>
    <t>[M+K]+</t>
  </si>
  <si>
    <t>IS amount ()</t>
  </si>
  <si>
    <t>LPC 16:0</t>
  </si>
  <si>
    <t>LPC 16:0 d9</t>
  </si>
  <si>
    <t>LPC 18:0</t>
  </si>
  <si>
    <t>LPC 18:0 d9</t>
  </si>
  <si>
    <t>LPC 18:1 d7</t>
  </si>
  <si>
    <t>LPC 18:1</t>
  </si>
  <si>
    <t>[C24H51NO7P]+</t>
  </si>
  <si>
    <t>[M+H]+</t>
  </si>
  <si>
    <t>[C24H50KNO7P]+</t>
  </si>
  <si>
    <t>[C26H55NO7P]+</t>
  </si>
  <si>
    <t>LPC_1</t>
  </si>
  <si>
    <t>LPC_2</t>
  </si>
  <si>
    <t>LPC_3</t>
  </si>
  <si>
    <t>[C26H54KNO7P]+</t>
  </si>
  <si>
    <t>[C26H53NO7P]+</t>
  </si>
  <si>
    <t>[C26H52KNO7P]+</t>
  </si>
  <si>
    <t>[C24H42D9NO7P]+</t>
  </si>
  <si>
    <t>[C26H46D9NO7P]+</t>
  </si>
  <si>
    <t>[C26H46D7NO7P]+</t>
  </si>
  <si>
    <t>[C24H41D9KNO7P]+</t>
  </si>
  <si>
    <t>[C26H45D9KNO7P]+</t>
  </si>
  <si>
    <t>[C26H45D7KNO7P]+</t>
  </si>
  <si>
    <t>LPC 18:2</t>
  </si>
  <si>
    <t>[C26H51NO7P]+</t>
  </si>
  <si>
    <t>[C26H50KNO7P]+</t>
  </si>
  <si>
    <t>ug/mL</t>
  </si>
  <si>
    <t>ug/umol (LPC 16:0 d9)</t>
  </si>
  <si>
    <t>mm2/min</t>
  </si>
  <si>
    <t>mL/min</t>
  </si>
  <si>
    <t>mL/mm2</t>
  </si>
  <si>
    <t>mm2</t>
  </si>
  <si>
    <t>min</t>
  </si>
  <si>
    <t>ug/umol (LPC 18:0 d9)</t>
  </si>
  <si>
    <t>ug/umol (LPC 18:1 d7)</t>
  </si>
  <si>
    <t>nmol/mL</t>
  </si>
  <si>
    <t>pmol/mm2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</si>
</sst>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8" formatCode="0.000"/>
    <numFmt numFmtId="171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8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7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58" zoomScaleNormal="158" workbookViewId="0">
      <selection activeCell="J16" sqref="J16"/>
    </sheetView>
  </sheetViews>
  <sheetFormatPr baseColWidth="10" defaultColWidth="8.83203125" defaultRowHeight="15" x14ac:dyDescent="0.2"/>
  <cols>
    <col min="1" max="1" width="3.1640625" bestFit="1" customWidth="1"/>
    <col min="2" max="2" width="10.1640625" bestFit="1" customWidth="1"/>
    <col min="3" max="3" width="8.6640625" bestFit="1" customWidth="1"/>
    <col min="4" max="4" width="16.83203125" bestFit="1" customWidth="1"/>
    <col min="5" max="5" width="5.83203125" bestFit="1" customWidth="1"/>
    <col min="6" max="6" width="6.83203125" bestFit="1" customWidth="1"/>
    <col min="7" max="8" width="13.5" bestFit="1" customWidth="1"/>
    <col min="9" max="9" width="7.83203125" bestFit="1" customWidth="1"/>
    <col min="10" max="10" width="10.1640625" bestFit="1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9</v>
      </c>
    </row>
    <row r="2" spans="1:10" x14ac:dyDescent="0.2">
      <c r="A2" s="1">
        <v>0</v>
      </c>
      <c r="B2" t="s">
        <v>11</v>
      </c>
      <c r="C2" s="4">
        <v>505.39625661999997</v>
      </c>
      <c r="D2" t="s">
        <v>26</v>
      </c>
      <c r="E2" t="s">
        <v>20</v>
      </c>
      <c r="F2" t="s">
        <v>17</v>
      </c>
      <c r="G2" s="3">
        <v>20.385777000000001</v>
      </c>
      <c r="H2" s="3">
        <v>3.7364199999999999</v>
      </c>
      <c r="J2" s="3">
        <v>3.8588049702225811</v>
      </c>
    </row>
    <row r="3" spans="1:10" x14ac:dyDescent="0.2">
      <c r="A3" s="1">
        <v>1</v>
      </c>
      <c r="B3" t="s">
        <v>10</v>
      </c>
      <c r="C3" s="4">
        <v>496.33980000000003</v>
      </c>
      <c r="D3" t="s">
        <v>16</v>
      </c>
      <c r="E3" t="s">
        <v>20</v>
      </c>
      <c r="F3" t="s">
        <v>17</v>
      </c>
      <c r="G3" s="3">
        <v>20.442551000000002</v>
      </c>
      <c r="H3" s="3">
        <v>3.7536700000000001</v>
      </c>
      <c r="J3" s="3"/>
    </row>
    <row r="4" spans="1:10" x14ac:dyDescent="0.2">
      <c r="A4" s="1">
        <v>2</v>
      </c>
      <c r="B4" t="s">
        <v>13</v>
      </c>
      <c r="C4" s="4">
        <v>533.42755674</v>
      </c>
      <c r="D4" t="s">
        <v>27</v>
      </c>
      <c r="E4" t="s">
        <v>21</v>
      </c>
      <c r="F4" t="s">
        <v>17</v>
      </c>
      <c r="G4" s="3">
        <v>21.570011000000001</v>
      </c>
      <c r="H4" s="3">
        <v>4.1051260000000003</v>
      </c>
      <c r="J4" s="3">
        <v>3.6556462139644439</v>
      </c>
    </row>
    <row r="5" spans="1:10" x14ac:dyDescent="0.2">
      <c r="A5" s="1">
        <v>3</v>
      </c>
      <c r="B5" t="s">
        <v>12</v>
      </c>
      <c r="C5" s="4">
        <v>524.37109999999996</v>
      </c>
      <c r="D5" t="s">
        <v>19</v>
      </c>
      <c r="E5" t="s">
        <v>21</v>
      </c>
      <c r="F5" t="s">
        <v>17</v>
      </c>
      <c r="G5" s="3">
        <v>21.623867000000001</v>
      </c>
      <c r="H5" s="3">
        <v>4.1232189999999997</v>
      </c>
      <c r="I5" t="s">
        <v>15</v>
      </c>
      <c r="J5" s="3"/>
    </row>
    <row r="6" spans="1:10" x14ac:dyDescent="0.2">
      <c r="A6" s="1">
        <v>4</v>
      </c>
      <c r="B6" t="s">
        <v>14</v>
      </c>
      <c r="C6" s="4">
        <v>529.39935309999998</v>
      </c>
      <c r="D6" t="s">
        <v>28</v>
      </c>
      <c r="E6" t="s">
        <v>22</v>
      </c>
      <c r="F6" t="s">
        <v>17</v>
      </c>
      <c r="G6" s="3">
        <v>21.570011000000001</v>
      </c>
      <c r="H6" s="3">
        <v>4.1051260000000003</v>
      </c>
      <c r="J6" s="3">
        <v>3.6835146950654369</v>
      </c>
    </row>
    <row r="7" spans="1:10" x14ac:dyDescent="0.2">
      <c r="A7" s="1">
        <v>5</v>
      </c>
      <c r="B7" t="s">
        <v>15</v>
      </c>
      <c r="C7" s="4">
        <v>522.35540000000003</v>
      </c>
      <c r="D7" t="s">
        <v>24</v>
      </c>
      <c r="E7" t="s">
        <v>22</v>
      </c>
      <c r="F7" t="s">
        <v>17</v>
      </c>
      <c r="G7" s="3">
        <v>21.611910999999999</v>
      </c>
      <c r="H7" s="3">
        <v>4.1191950000000004</v>
      </c>
      <c r="I7" t="s">
        <v>32</v>
      </c>
    </row>
    <row r="8" spans="1:10" x14ac:dyDescent="0.2">
      <c r="A8" s="1">
        <v>6</v>
      </c>
      <c r="B8" t="s">
        <v>32</v>
      </c>
      <c r="C8" s="4">
        <v>520.33979999999997</v>
      </c>
      <c r="D8" t="s">
        <v>33</v>
      </c>
      <c r="E8" t="s">
        <v>22</v>
      </c>
      <c r="F8" t="s">
        <v>17</v>
      </c>
      <c r="G8" s="3">
        <v>21.599948000000001</v>
      </c>
      <c r="H8" s="3">
        <v>4.1151730000000004</v>
      </c>
    </row>
    <row r="9" spans="1:10" x14ac:dyDescent="0.2">
      <c r="A9" s="1">
        <v>7</v>
      </c>
      <c r="B9" t="s">
        <v>11</v>
      </c>
      <c r="C9" s="4">
        <v>543.35213844899999</v>
      </c>
      <c r="D9" t="s">
        <v>29</v>
      </c>
      <c r="E9" t="s">
        <v>20</v>
      </c>
      <c r="F9" t="s">
        <v>8</v>
      </c>
      <c r="G9" s="3">
        <v>19.014309000000001</v>
      </c>
      <c r="H9" s="3">
        <v>8.5535300000000003</v>
      </c>
      <c r="J9" s="3">
        <v>3.8588049702225811</v>
      </c>
    </row>
    <row r="10" spans="1:10" x14ac:dyDescent="0.2">
      <c r="A10" s="1">
        <v>8</v>
      </c>
      <c r="B10" t="s">
        <v>10</v>
      </c>
      <c r="C10" s="4">
        <v>534.29560000000004</v>
      </c>
      <c r="D10" t="s">
        <v>18</v>
      </c>
      <c r="E10" t="s">
        <v>20</v>
      </c>
      <c r="F10" t="s">
        <v>8</v>
      </c>
      <c r="G10" s="3">
        <v>19.067260000000001</v>
      </c>
      <c r="H10" s="3">
        <v>8.5643759999999993</v>
      </c>
      <c r="J10" s="3"/>
    </row>
    <row r="11" spans="1:10" x14ac:dyDescent="0.2">
      <c r="A11" s="1">
        <v>9</v>
      </c>
      <c r="B11" t="s">
        <v>13</v>
      </c>
      <c r="C11" s="4">
        <v>571.38343857699999</v>
      </c>
      <c r="D11" t="s">
        <v>30</v>
      </c>
      <c r="E11" t="s">
        <v>21</v>
      </c>
      <c r="F11" t="s">
        <v>8</v>
      </c>
      <c r="G11" s="3">
        <v>20.118812999999999</v>
      </c>
      <c r="H11" s="3">
        <v>8.7872640000000004</v>
      </c>
      <c r="J11" s="3">
        <v>3.6556462139644439</v>
      </c>
    </row>
    <row r="12" spans="1:10" x14ac:dyDescent="0.2">
      <c r="A12" s="1">
        <v>10</v>
      </c>
      <c r="B12" t="s">
        <v>12</v>
      </c>
      <c r="C12" s="4">
        <v>562.32690000000002</v>
      </c>
      <c r="D12" t="s">
        <v>23</v>
      </c>
      <c r="E12" t="s">
        <v>21</v>
      </c>
      <c r="F12" t="s">
        <v>8</v>
      </c>
      <c r="G12" s="3">
        <v>20.169044</v>
      </c>
      <c r="H12" s="3">
        <v>8.7990100000000009</v>
      </c>
      <c r="I12" t="s">
        <v>15</v>
      </c>
      <c r="J12" s="3"/>
    </row>
    <row r="13" spans="1:10" x14ac:dyDescent="0.2">
      <c r="A13" s="1">
        <v>11</v>
      </c>
      <c r="B13" t="s">
        <v>14</v>
      </c>
      <c r="C13" s="4">
        <v>567.35523502098999</v>
      </c>
      <c r="D13" t="s">
        <v>31</v>
      </c>
      <c r="E13" t="s">
        <v>22</v>
      </c>
      <c r="F13" t="s">
        <v>8</v>
      </c>
      <c r="G13" s="3">
        <v>20.118812999999999</v>
      </c>
      <c r="H13" s="3">
        <v>8.7872640000000004</v>
      </c>
      <c r="J13" s="3">
        <v>3.6835146950654369</v>
      </c>
    </row>
    <row r="14" spans="1:10" x14ac:dyDescent="0.2">
      <c r="A14" s="1">
        <v>12</v>
      </c>
      <c r="B14" t="s">
        <v>15</v>
      </c>
      <c r="C14" s="4">
        <v>560.31129999999996</v>
      </c>
      <c r="D14" t="s">
        <v>25</v>
      </c>
      <c r="E14" t="s">
        <v>22</v>
      </c>
      <c r="F14" t="s">
        <v>8</v>
      </c>
      <c r="G14" s="3">
        <v>20.157893000000001</v>
      </c>
      <c r="H14" s="3">
        <v>8.7963970000000007</v>
      </c>
      <c r="I14" t="s">
        <v>32</v>
      </c>
    </row>
    <row r="15" spans="1:10" x14ac:dyDescent="0.2">
      <c r="A15" s="1">
        <v>13</v>
      </c>
      <c r="B15" t="s">
        <v>32</v>
      </c>
      <c r="C15" s="4">
        <v>558.29560000000004</v>
      </c>
      <c r="D15" t="s">
        <v>34</v>
      </c>
      <c r="E15" t="s">
        <v>22</v>
      </c>
      <c r="F15" t="s">
        <v>8</v>
      </c>
      <c r="G15" s="3">
        <v>20.146735</v>
      </c>
      <c r="H15" s="3">
        <v>8.7937849999999997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AF1B-950B-A646-B09D-2205823BD8E8}">
  <dimension ref="B3:I11"/>
  <sheetViews>
    <sheetView zoomScale="151" zoomScaleNormal="151" workbookViewId="0">
      <selection activeCell="H11" sqref="H11"/>
    </sheetView>
  </sheetViews>
  <sheetFormatPr baseColWidth="10" defaultRowHeight="15" x14ac:dyDescent="0.2"/>
  <cols>
    <col min="2" max="2" width="6.6640625" bestFit="1" customWidth="1"/>
    <col min="3" max="3" width="18.5" bestFit="1" customWidth="1"/>
    <col min="5" max="5" width="6.6640625" bestFit="1" customWidth="1"/>
    <col min="6" max="6" width="18.5" bestFit="1" customWidth="1"/>
    <col min="8" max="8" width="6.6640625" bestFit="1" customWidth="1"/>
    <col min="9" max="9" width="18.5" bestFit="1" customWidth="1"/>
  </cols>
  <sheetData>
    <row r="3" spans="2:9" x14ac:dyDescent="0.2">
      <c r="B3" s="5">
        <v>0.6</v>
      </c>
      <c r="C3" s="5" t="s">
        <v>35</v>
      </c>
      <c r="E3" s="5">
        <v>0.6</v>
      </c>
      <c r="F3" s="5" t="s">
        <v>35</v>
      </c>
      <c r="H3" s="5">
        <v>0.6</v>
      </c>
      <c r="I3" s="5" t="s">
        <v>35</v>
      </c>
    </row>
    <row r="4" spans="2:9" x14ac:dyDescent="0.2">
      <c r="B4" s="9">
        <f>505.39625662-1</f>
        <v>504.39625661999997</v>
      </c>
      <c r="C4" s="5" t="s">
        <v>36</v>
      </c>
      <c r="E4" s="9">
        <f>533.42755674-1</f>
        <v>532.42755674</v>
      </c>
      <c r="F4" s="5" t="s">
        <v>42</v>
      </c>
      <c r="H4" s="9">
        <f>529.3993531-1</f>
        <v>528.39935309999998</v>
      </c>
      <c r="I4" s="5" t="s">
        <v>43</v>
      </c>
    </row>
    <row r="5" spans="2:9" x14ac:dyDescent="0.2">
      <c r="B5" s="5">
        <f>17*17</f>
        <v>289</v>
      </c>
      <c r="C5" s="5" t="s">
        <v>40</v>
      </c>
      <c r="E5" s="5">
        <f>17*17</f>
        <v>289</v>
      </c>
      <c r="F5" s="5" t="s">
        <v>40</v>
      </c>
      <c r="H5" s="5">
        <f>17*17</f>
        <v>289</v>
      </c>
      <c r="I5" s="5" t="s">
        <v>40</v>
      </c>
    </row>
    <row r="6" spans="2:9" x14ac:dyDescent="0.2">
      <c r="B6" s="5">
        <f>15-15*0.5</f>
        <v>7.5</v>
      </c>
      <c r="C6" s="5" t="s">
        <v>41</v>
      </c>
      <c r="E6" s="5">
        <f>15-15*0.5</f>
        <v>7.5</v>
      </c>
      <c r="F6" s="5" t="s">
        <v>41</v>
      </c>
      <c r="H6" s="5">
        <f>15-15*0.5</f>
        <v>7.5</v>
      </c>
      <c r="I6" s="5" t="s">
        <v>41</v>
      </c>
    </row>
    <row r="7" spans="2:9" x14ac:dyDescent="0.2">
      <c r="B7" s="5">
        <v>0.125</v>
      </c>
      <c r="C7" s="5" t="s">
        <v>38</v>
      </c>
      <c r="E7" s="5">
        <v>0.125</v>
      </c>
      <c r="F7" s="5" t="s">
        <v>38</v>
      </c>
      <c r="H7" s="5">
        <v>0.125</v>
      </c>
      <c r="I7" s="5" t="s">
        <v>38</v>
      </c>
    </row>
    <row r="8" spans="2:9" x14ac:dyDescent="0.2">
      <c r="B8" s="7">
        <f>B5/B6</f>
        <v>38.533333333333331</v>
      </c>
      <c r="C8" s="7" t="s">
        <v>37</v>
      </c>
      <c r="E8" s="7">
        <f>E5/E6</f>
        <v>38.533333333333331</v>
      </c>
      <c r="F8" s="7" t="s">
        <v>37</v>
      </c>
      <c r="H8" s="7">
        <f>H5/H6</f>
        <v>38.533333333333331</v>
      </c>
      <c r="I8" s="7" t="s">
        <v>37</v>
      </c>
    </row>
    <row r="9" spans="2:9" x14ac:dyDescent="0.2">
      <c r="B9" s="6">
        <f>B3/B4*1000</f>
        <v>1.189540945487281</v>
      </c>
      <c r="C9" s="7" t="s">
        <v>44</v>
      </c>
      <c r="E9" s="6">
        <f>E3/E4*1000</f>
        <v>1.1269138728914392</v>
      </c>
      <c r="F9" s="7" t="s">
        <v>44</v>
      </c>
      <c r="H9" s="6">
        <f>H3/H4*1000</f>
        <v>1.1355047966655052</v>
      </c>
      <c r="I9" s="7" t="s">
        <v>44</v>
      </c>
    </row>
    <row r="10" spans="2:9" x14ac:dyDescent="0.2">
      <c r="B10" s="8">
        <f>B7/B8</f>
        <v>3.243944636678201E-3</v>
      </c>
      <c r="C10" s="7" t="s">
        <v>39</v>
      </c>
      <c r="E10" s="8">
        <f>E7/E8</f>
        <v>3.243944636678201E-3</v>
      </c>
      <c r="F10" s="7" t="s">
        <v>39</v>
      </c>
      <c r="H10" s="8">
        <f>H7/H8</f>
        <v>3.243944636678201E-3</v>
      </c>
      <c r="I10" s="7" t="s">
        <v>39</v>
      </c>
    </row>
    <row r="11" spans="2:9" x14ac:dyDescent="0.2">
      <c r="B11" s="6">
        <f>B9*B10*1000</f>
        <v>3.8588049702225811</v>
      </c>
      <c r="C11" s="7" t="s">
        <v>45</v>
      </c>
      <c r="E11" s="6">
        <f>E9*E10*1000</f>
        <v>3.6556462139644439</v>
      </c>
      <c r="F11" s="7" t="s">
        <v>45</v>
      </c>
      <c r="H11" s="6">
        <f>H9*H10*1000</f>
        <v>3.6835146950654369</v>
      </c>
      <c r="I11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2024-05-30T11:49:02Z</dcterms:modified>
</cp:coreProperties>
</file>